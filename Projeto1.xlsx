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xr:revisionPtr revIDLastSave="0" documentId="8_{CD6B66BA-B95C-1449-BD2D-93265D0447F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do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J2" i="1"/>
  <c r="K2" i="1"/>
  <c r="I3" i="1"/>
  <c r="J3" i="1"/>
  <c r="K3" i="1"/>
  <c r="I4" i="1"/>
  <c r="J4" i="1"/>
  <c r="K4" i="1"/>
  <c r="I5" i="1"/>
  <c r="J5" i="1"/>
  <c r="K5" i="1"/>
  <c r="I23" i="1"/>
  <c r="I18" i="1"/>
  <c r="I19" i="1"/>
  <c r="I13" i="1"/>
  <c r="J13" i="1"/>
  <c r="I14" i="1"/>
  <c r="J14" i="1"/>
  <c r="I12" i="1"/>
  <c r="J12" i="1"/>
</calcChain>
</file>

<file path=xl/sharedStrings.xml><?xml version="1.0" encoding="utf-8"?>
<sst xmlns="http://schemas.openxmlformats.org/spreadsheetml/2006/main" count="172" uniqueCount="34">
  <si>
    <t>ID_Pedido</t>
  </si>
  <si>
    <t>Nome_Entregador</t>
  </si>
  <si>
    <t>Bairro_Entrega</t>
  </si>
  <si>
    <t>Valor_Pedido</t>
  </si>
  <si>
    <t>Status</t>
  </si>
  <si>
    <t>Ana</t>
  </si>
  <si>
    <t>Thiago</t>
  </si>
  <si>
    <t>Diana</t>
  </si>
  <si>
    <t>Juca</t>
  </si>
  <si>
    <t>Felipe</t>
  </si>
  <si>
    <t>Eduarda</t>
  </si>
  <si>
    <t>Camila</t>
  </si>
  <si>
    <t>Diego</t>
  </si>
  <si>
    <t>Bruno</t>
  </si>
  <si>
    <t>Sabrina</t>
  </si>
  <si>
    <t>Quezia</t>
  </si>
  <si>
    <t>Rafael</t>
  </si>
  <si>
    <t>Paulo</t>
  </si>
  <si>
    <t xml:space="preserve">Estefani </t>
  </si>
  <si>
    <t>Centro</t>
  </si>
  <si>
    <t>Higienópolis</t>
  </si>
  <si>
    <t>Jardins</t>
  </si>
  <si>
    <t>Paulista</t>
  </si>
  <si>
    <t>Pendente</t>
  </si>
  <si>
    <t>Atrasado</t>
  </si>
  <si>
    <t>Entregue</t>
  </si>
  <si>
    <t>Bairro</t>
  </si>
  <si>
    <t>Total_Faturado</t>
  </si>
  <si>
    <t>Qtd_Pedidos</t>
  </si>
  <si>
    <t>Ticket_Médio</t>
  </si>
  <si>
    <t>Total</t>
  </si>
  <si>
    <t>%Total</t>
  </si>
  <si>
    <t>Pesquisar ID</t>
  </si>
  <si>
    <t>Ticket_Médio_Geral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</si>
</sst>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-416]#,##0.0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4">
    <dxf>
      <numFmt numFmtId="14" formatCode="0.00%"/>
    </dxf>
    <dxf>
      <numFmt numFmtId="164" formatCode="[$R$-416]#,##0.00"/>
    </dxf>
    <dxf>
      <numFmt numFmtId="164" formatCode="[$R$-416]#,##0.00"/>
    </dxf>
    <dxf>
      <numFmt numFmtId="164" formatCode="[$R$-416]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Receita_Bairros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Dados!$H$2:$H$5</c:f>
              <c:strCache>
                <c:ptCount val="4"/>
                <c:pt idx="0">
                  <c:v>Centro</c:v>
                </c:pt>
                <c:pt idx="1">
                  <c:v>Higienópolis</c:v>
                </c:pt>
                <c:pt idx="2">
                  <c:v>Paulista</c:v>
                </c:pt>
                <c:pt idx="3">
                  <c:v>Jardins</c:v>
                </c:pt>
              </c:strCache>
            </c:strRef>
          </c:cat>
          <c:val>
            <c:numRef>
              <c:f>Dados!$I$2:$I$5</c:f>
              <c:numCache>
                <c:formatCode>[$R$-416]#,##0.00</c:formatCode>
                <c:ptCount val="4"/>
                <c:pt idx="0">
                  <c:v>336</c:v>
                </c:pt>
                <c:pt idx="1">
                  <c:v>328</c:v>
                </c:pt>
                <c:pt idx="2">
                  <c:v>322</c:v>
                </c:pt>
                <c:pt idx="3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07-E140-9DC7-F6090F71C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8602176"/>
        <c:axId val="988603968"/>
      </c:barChart>
      <c:catAx>
        <c:axId val="988602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8603968"/>
        <c:crosses val="autoZero"/>
        <c:auto val="1"/>
        <c:lblAlgn val="ctr"/>
        <c:lblOffset val="100"/>
        <c:noMultiLvlLbl val="0"/>
      </c:catAx>
      <c:valAx>
        <c:axId val="98860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8860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Dados!$H$12:$H$14</c:f>
              <c:strCache>
                <c:ptCount val="3"/>
                <c:pt idx="0">
                  <c:v>Pendente</c:v>
                </c:pt>
                <c:pt idx="1">
                  <c:v>Entregue</c:v>
                </c:pt>
                <c:pt idx="2">
                  <c:v>Atrasado</c:v>
                </c:pt>
              </c:strCache>
            </c:strRef>
          </c:cat>
          <c:val>
            <c:numRef>
              <c:f>Dados!$I$12:$I$14</c:f>
              <c:numCache>
                <c:formatCode>General</c:formatCode>
                <c:ptCount val="3"/>
                <c:pt idx="0">
                  <c:v>21</c:v>
                </c:pt>
                <c:pt idx="1">
                  <c:v>15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07A-F647-A33B-91686DE9E6CD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Dados!$H$12:$H$14</c:f>
              <c:strCache>
                <c:ptCount val="3"/>
                <c:pt idx="0">
                  <c:v>Pendente</c:v>
                </c:pt>
                <c:pt idx="1">
                  <c:v>Entregue</c:v>
                </c:pt>
                <c:pt idx="2">
                  <c:v>Atrasado</c:v>
                </c:pt>
              </c:strCache>
            </c:strRef>
          </c:cat>
          <c:val>
            <c:numRef>
              <c:f>Dados!$J$12:$J$14</c:f>
              <c:numCache>
                <c:formatCode>0.00%</c:formatCode>
                <c:ptCount val="3"/>
                <c:pt idx="0">
                  <c:v>0.42</c:v>
                </c:pt>
                <c:pt idx="1">
                  <c:v>0.3</c:v>
                </c:pt>
                <c:pt idx="2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07A-F647-A33B-91686DE9E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312306</xdr:colOff>
      <xdr:row>54</xdr:row>
      <xdr:rowOff>183696</xdr:rowOff>
    </xdr:from>
    <xdr:to>
      <xdr:col>8</xdr:col>
      <xdr:colOff>977805</xdr:colOff>
      <xdr:row>76</xdr:row>
      <xdr:rowOff>146551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FCEE80E6-1C05-BE26-0FEA-118F79003D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1050237</xdr:colOff>
      <xdr:row>96</xdr:row>
      <xdr:rowOff>115281</xdr:rowOff>
    </xdr:from>
    <xdr:to>
      <xdr:col>10</xdr:col>
      <xdr:colOff>724000</xdr:colOff>
      <xdr:row>121</xdr:row>
      <xdr:rowOff>71438</xdr:rowOff>
    </xdr:to>
    <xdr:graphicFrame macro="">
      <xdr:nvGraphicFramePr>
        <xdr:cNvPr id="6" name="Gráfico 4">
          <a:extLst>
            <a:ext uri="{FF2B5EF4-FFF2-40B4-BE49-F238E27FC236}">
              <a16:creationId xmlns:a16="http://schemas.microsoft.com/office/drawing/2014/main" id="{7EE6F7D9-4CED-F5C0-F015-D64B17A1D47D}"/>
            </a:ext>
            <a:ext uri="{147F2762-F138-4A5C-976F-8EAC2B608ADB}">
              <a16:predDERef xmlns:a16="http://schemas.microsoft.com/office/drawing/2014/main" pred="{FCEE80E6-1C05-BE26-0FEA-118F79003D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1C13BC-6778-4540-A5D7-217452C663B4}" name="Tabela1" displayName="Tabela1" ref="A1:E51" totalsRowShown="0">
  <autoFilter ref="A1:E51" xr:uid="{771C13BC-6778-4540-A5D7-217452C663B4}"/>
  <tableColumns count="5">
    <tableColumn id="1" xr3:uid="{9ADA3656-512C-0B4B-8770-23CDCD6C617B}" name="ID_Pedido"/>
    <tableColumn id="2" xr3:uid="{E56AFCDD-7961-D148-AC8E-98FB278A2BBF}" name="Nome_Entregador"/>
    <tableColumn id="3" xr3:uid="{6E752B6A-E135-AC47-9D34-7316D43E96DD}" name="Bairro_Entrega"/>
    <tableColumn id="4" xr3:uid="{EA5DD8D6-C96C-BF4C-A33E-C347EDA9B1E5}" name="Valor_Pedido" dataDxfId="3"/>
    <tableColumn id="5" xr3:uid="{252C386B-0522-8346-B61B-A02AC27EA1BA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B2A8F4-B7F8-0C45-A484-A3F6DE69D04C}" name="Tabela2" displayName="Tabela2" ref="H1:K5" totalsRowShown="0">
  <autoFilter ref="H1:K5" xr:uid="{E8B2A8F4-B7F8-0C45-A484-A3F6DE69D04C}"/>
  <sortState xmlns:xlrd2="http://schemas.microsoft.com/office/spreadsheetml/2017/richdata2" ref="H2:K5">
    <sortCondition descending="1" ref="I1:I5"/>
  </sortState>
  <tableColumns count="4">
    <tableColumn id="1" xr3:uid="{90BCEB16-2EF4-9742-B3BE-96799AE1F303}" name="Bairro"/>
    <tableColumn id="2" xr3:uid="{C2DE986C-AE2A-E148-871D-509E132C9906}" name="Total_Faturado" dataDxfId="2">
      <calculatedColumnFormula>SUMIFS(Tabela1[Valor_Pedido],Tabela1[Bairro_Entrega],H2)</calculatedColumnFormula>
    </tableColumn>
    <tableColumn id="3" xr3:uid="{1373DA68-37B1-6E4E-9BC4-9EEB94017C36}" name="Qtd_Pedidos">
      <calculatedColumnFormula>COUNTIFS(Tabela1[Bairro_Entrega],H2)</calculatedColumnFormula>
    </tableColumn>
    <tableColumn id="4" xr3:uid="{596649CC-3CFE-C54F-A9A5-5D764EFAB7DD}" name="Ticket_Médio" dataDxfId="1">
      <calculatedColumnFormula>ROUND(I2/J2,0)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B3AA73-4E6D-9645-AAEA-D2BECA1538E6}" name="Tabela3" displayName="Tabela3" ref="H11:J14" totalsRowShown="0">
  <autoFilter ref="H11:J14" xr:uid="{0CB3AA73-4E6D-9645-AAEA-D2BECA1538E6}"/>
  <sortState xmlns:xlrd2="http://schemas.microsoft.com/office/spreadsheetml/2017/richdata2" ref="H12:J14">
    <sortCondition descending="1" ref="I11:I14"/>
  </sortState>
  <tableColumns count="3">
    <tableColumn id="1" xr3:uid="{B4D14DA8-AB97-DA40-A1B7-328158069339}" name="Status"/>
    <tableColumn id="2" xr3:uid="{81518D25-406D-A341-8EF3-C4C594991907}" name="Total">
      <calculatedColumnFormula>COUNTIFS(Tabela1[Status],H12)</calculatedColumnFormula>
    </tableColumn>
    <tableColumn id="3" xr3:uid="{42FE6172-20B9-804A-989D-AD5A7B093B42}" name="%Total" dataDxfId="0">
      <calculatedColumnFormula>Tabela3[[#This Row],[Total]]/50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 /><Relationship Id="rId2" Type="http://schemas.openxmlformats.org/officeDocument/2006/relationships/table" Target="../tables/table1.xml" /><Relationship Id="rId1" Type="http://schemas.openxmlformats.org/officeDocument/2006/relationships/drawing" Target="../drawings/drawing1.xml" /><Relationship Id="rId4" Type="http://schemas.openxmlformats.org/officeDocument/2006/relationships/table" Target="../tables/table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DCA4-6260-A34C-86D3-9DAAE76D6002}">
  <dimension ref="A1:O51"/>
  <sheetViews>
    <sheetView showGridLines="0" showRowColHeaders="0" tabSelected="1" zoomScaleNormal="60" zoomScaleSheetLayoutView="100" workbookViewId="0">
      <selection activeCell="K105" sqref="K105"/>
    </sheetView>
  </sheetViews>
  <sheetFormatPr defaultRowHeight="15" x14ac:dyDescent="0.2"/>
  <cols>
    <col min="1" max="1" width="12.77734375" bestFit="1" customWidth="1"/>
    <col min="2" max="2" width="19.90625" bestFit="1" customWidth="1"/>
    <col min="3" max="3" width="16.8125" bestFit="1" customWidth="1"/>
    <col min="4" max="4" width="15.46875" style="1" bestFit="1" customWidth="1"/>
    <col min="5" max="5" width="9.68359375" bestFit="1" customWidth="1"/>
    <col min="8" max="8" width="11.43359375" bestFit="1" customWidth="1"/>
    <col min="9" max="9" width="17.21875" bestFit="1" customWidth="1"/>
    <col min="10" max="10" width="15.19921875" bestFit="1" customWidth="1"/>
    <col min="11" max="11" width="15.46875" bestFit="1" customWidth="1"/>
    <col min="13" max="13" width="11.43359375" bestFit="1" customWidth="1"/>
    <col min="15" max="15" width="17.08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s="1" t="s">
        <v>3</v>
      </c>
      <c r="E1" t="s">
        <v>4</v>
      </c>
      <c r="H1" t="s">
        <v>26</v>
      </c>
      <c r="I1" t="s">
        <v>27</v>
      </c>
      <c r="J1" t="s">
        <v>28</v>
      </c>
      <c r="K1" t="s">
        <v>29</v>
      </c>
      <c r="O1" s="1"/>
    </row>
    <row r="2" spans="1:15" x14ac:dyDescent="0.2">
      <c r="A2">
        <v>101</v>
      </c>
      <c r="B2" t="s">
        <v>5</v>
      </c>
      <c r="C2" t="s">
        <v>19</v>
      </c>
      <c r="D2" s="1">
        <v>29</v>
      </c>
      <c r="E2" t="s">
        <v>23</v>
      </c>
      <c r="H2" t="s">
        <v>19</v>
      </c>
      <c r="I2" s="1">
        <f>SUMIFS(Tabela1[Valor_Pedido],Tabela1[Bairro_Entrega],H2)</f>
        <v>336</v>
      </c>
      <c r="J2">
        <f>COUNTIFS(Tabela1[Bairro_Entrega],H2)</f>
        <v>14</v>
      </c>
      <c r="K2" s="1">
        <f>ROUND(I2/J2,0)</f>
        <v>24</v>
      </c>
    </row>
    <row r="3" spans="1:15" x14ac:dyDescent="0.2">
      <c r="A3">
        <v>102</v>
      </c>
      <c r="B3" t="s">
        <v>6</v>
      </c>
      <c r="C3" t="s">
        <v>20</v>
      </c>
      <c r="D3" s="1">
        <v>28</v>
      </c>
      <c r="E3" t="s">
        <v>23</v>
      </c>
      <c r="H3" t="s">
        <v>20</v>
      </c>
      <c r="I3" s="1">
        <f>SUMIFS(Tabela1[Valor_Pedido],Tabela1[Bairro_Entrega],H3)</f>
        <v>328</v>
      </c>
      <c r="J3">
        <f>COUNTIFS(Tabela1[Bairro_Entrega],H3)</f>
        <v>13</v>
      </c>
      <c r="K3" s="1">
        <f>ROUND(I3/J3,0)</f>
        <v>25</v>
      </c>
    </row>
    <row r="4" spans="1:15" x14ac:dyDescent="0.2">
      <c r="A4">
        <v>103</v>
      </c>
      <c r="B4" t="s">
        <v>5</v>
      </c>
      <c r="C4" t="s">
        <v>20</v>
      </c>
      <c r="D4" s="1">
        <v>18</v>
      </c>
      <c r="E4" t="s">
        <v>23</v>
      </c>
      <c r="H4" t="s">
        <v>22</v>
      </c>
      <c r="I4" s="1">
        <f>SUMIFS(Tabela1[Valor_Pedido],Tabela1[Bairro_Entrega],H4)</f>
        <v>322</v>
      </c>
      <c r="J4">
        <f>COUNTIFS(Tabela1[Bairro_Entrega],H4)</f>
        <v>15</v>
      </c>
      <c r="K4" s="1">
        <f>ROUND(I4/J4,0)</f>
        <v>21</v>
      </c>
    </row>
    <row r="5" spans="1:15" x14ac:dyDescent="0.2">
      <c r="A5">
        <v>104</v>
      </c>
      <c r="B5" t="s">
        <v>7</v>
      </c>
      <c r="C5" t="s">
        <v>21</v>
      </c>
      <c r="D5" s="1">
        <v>31</v>
      </c>
      <c r="E5" t="s">
        <v>23</v>
      </c>
      <c r="H5" t="s">
        <v>21</v>
      </c>
      <c r="I5" s="1">
        <f>SUMIFS(Tabela1[Valor_Pedido],Tabela1[Bairro_Entrega],H5)</f>
        <v>208</v>
      </c>
      <c r="J5">
        <f>COUNTIFS(Tabela1[Bairro_Entrega],H5)</f>
        <v>8</v>
      </c>
      <c r="K5" s="1">
        <f>ROUND(I5/J5,0)</f>
        <v>26</v>
      </c>
    </row>
    <row r="6" spans="1:15" x14ac:dyDescent="0.2">
      <c r="A6">
        <v>105</v>
      </c>
      <c r="B6" t="s">
        <v>8</v>
      </c>
      <c r="C6" t="s">
        <v>19</v>
      </c>
      <c r="D6" s="1">
        <v>36</v>
      </c>
      <c r="E6" t="s">
        <v>23</v>
      </c>
    </row>
    <row r="7" spans="1:15" x14ac:dyDescent="0.2">
      <c r="A7">
        <v>106</v>
      </c>
      <c r="B7" t="s">
        <v>9</v>
      </c>
      <c r="C7" t="s">
        <v>22</v>
      </c>
      <c r="D7" s="1">
        <v>31</v>
      </c>
      <c r="E7" t="s">
        <v>24</v>
      </c>
    </row>
    <row r="8" spans="1:15" x14ac:dyDescent="0.2">
      <c r="A8">
        <v>107</v>
      </c>
      <c r="B8" t="s">
        <v>10</v>
      </c>
      <c r="C8" t="s">
        <v>20</v>
      </c>
      <c r="D8" s="1">
        <v>28</v>
      </c>
      <c r="E8" t="s">
        <v>25</v>
      </c>
    </row>
    <row r="9" spans="1:15" x14ac:dyDescent="0.2">
      <c r="A9">
        <v>108</v>
      </c>
      <c r="B9" t="s">
        <v>11</v>
      </c>
      <c r="C9" t="s">
        <v>20</v>
      </c>
      <c r="D9" s="1">
        <v>14</v>
      </c>
      <c r="E9" t="s">
        <v>23</v>
      </c>
    </row>
    <row r="10" spans="1:15" x14ac:dyDescent="0.2">
      <c r="A10">
        <v>109</v>
      </c>
      <c r="B10" t="s">
        <v>12</v>
      </c>
      <c r="C10" t="s">
        <v>20</v>
      </c>
      <c r="D10" s="1">
        <v>36</v>
      </c>
      <c r="E10" t="s">
        <v>24</v>
      </c>
    </row>
    <row r="11" spans="1:15" x14ac:dyDescent="0.2">
      <c r="A11">
        <v>110</v>
      </c>
      <c r="B11" t="s">
        <v>13</v>
      </c>
      <c r="C11" t="s">
        <v>22</v>
      </c>
      <c r="D11" s="1">
        <v>17</v>
      </c>
      <c r="E11" t="s">
        <v>25</v>
      </c>
      <c r="H11" t="s">
        <v>4</v>
      </c>
      <c r="I11" t="s">
        <v>30</v>
      </c>
      <c r="J11" t="s">
        <v>31</v>
      </c>
    </row>
    <row r="12" spans="1:15" x14ac:dyDescent="0.2">
      <c r="A12">
        <v>111</v>
      </c>
      <c r="B12" t="s">
        <v>14</v>
      </c>
      <c r="C12" t="s">
        <v>20</v>
      </c>
      <c r="D12" s="1">
        <v>24</v>
      </c>
      <c r="E12" t="s">
        <v>25</v>
      </c>
      <c r="H12" t="s">
        <v>23</v>
      </c>
      <c r="I12">
        <f>COUNTIFS(Tabela1[Status],H12)</f>
        <v>21</v>
      </c>
      <c r="J12" s="2">
        <f>Tabela3[[#This Row],[Total]]/50</f>
        <v>0.42</v>
      </c>
    </row>
    <row r="13" spans="1:15" x14ac:dyDescent="0.2">
      <c r="A13">
        <v>112</v>
      </c>
      <c r="B13" t="s">
        <v>15</v>
      </c>
      <c r="C13" t="s">
        <v>22</v>
      </c>
      <c r="D13" s="1">
        <v>26</v>
      </c>
      <c r="E13" t="s">
        <v>24</v>
      </c>
      <c r="H13" t="s">
        <v>25</v>
      </c>
      <c r="I13">
        <f>COUNTIFS(Tabela1[Status],H13)</f>
        <v>15</v>
      </c>
      <c r="J13" s="2">
        <f>Tabela3[[#This Row],[Total]]/50</f>
        <v>0.3</v>
      </c>
    </row>
    <row r="14" spans="1:15" x14ac:dyDescent="0.2">
      <c r="A14">
        <v>113</v>
      </c>
      <c r="B14" t="s">
        <v>6</v>
      </c>
      <c r="C14" t="s">
        <v>22</v>
      </c>
      <c r="D14" s="1">
        <v>14</v>
      </c>
      <c r="E14" t="s">
        <v>25</v>
      </c>
      <c r="H14" t="s">
        <v>24</v>
      </c>
      <c r="I14">
        <f>COUNTIFS(Tabela1[Status],H14)</f>
        <v>14</v>
      </c>
      <c r="J14" s="2">
        <f>Tabela3[[#This Row],[Total]]/50</f>
        <v>0.28000000000000003</v>
      </c>
    </row>
    <row r="15" spans="1:15" x14ac:dyDescent="0.2">
      <c r="A15">
        <v>114</v>
      </c>
      <c r="B15" t="s">
        <v>16</v>
      </c>
      <c r="C15" t="s">
        <v>22</v>
      </c>
      <c r="D15" s="1">
        <v>14</v>
      </c>
      <c r="E15" t="s">
        <v>25</v>
      </c>
    </row>
    <row r="16" spans="1:15" x14ac:dyDescent="0.2">
      <c r="A16">
        <v>115</v>
      </c>
      <c r="B16" t="s">
        <v>17</v>
      </c>
      <c r="C16" t="s">
        <v>20</v>
      </c>
      <c r="D16" s="1">
        <v>13</v>
      </c>
      <c r="E16" t="s">
        <v>24</v>
      </c>
    </row>
    <row r="17" spans="1:9" x14ac:dyDescent="0.2">
      <c r="A17">
        <v>116</v>
      </c>
      <c r="B17" t="s">
        <v>18</v>
      </c>
      <c r="C17" t="s">
        <v>22</v>
      </c>
      <c r="D17" s="1">
        <v>13</v>
      </c>
      <c r="E17" t="s">
        <v>25</v>
      </c>
    </row>
    <row r="18" spans="1:9" x14ac:dyDescent="0.2">
      <c r="A18">
        <v>117</v>
      </c>
      <c r="B18" t="s">
        <v>5</v>
      </c>
      <c r="C18" t="s">
        <v>19</v>
      </c>
      <c r="D18" s="1">
        <v>29</v>
      </c>
      <c r="E18" t="s">
        <v>25</v>
      </c>
      <c r="H18" s="3" t="s">
        <v>32</v>
      </c>
      <c r="I18" s="5">
        <f>143</f>
        <v>143</v>
      </c>
    </row>
    <row r="19" spans="1:9" x14ac:dyDescent="0.2">
      <c r="A19">
        <v>118</v>
      </c>
      <c r="B19" t="s">
        <v>6</v>
      </c>
      <c r="C19" t="s">
        <v>19</v>
      </c>
      <c r="D19" s="1">
        <v>15</v>
      </c>
      <c r="E19" t="s">
        <v>24</v>
      </c>
      <c r="H19" s="5" t="s">
        <v>3</v>
      </c>
      <c r="I19" s="4">
        <f>IFERROR(INDEX(Tabela1[],MATCH(I18,Tabela1[ID_Pedido],0),4),"ID não encontrado")</f>
        <v>17</v>
      </c>
    </row>
    <row r="20" spans="1:9" x14ac:dyDescent="0.2">
      <c r="A20">
        <v>119</v>
      </c>
      <c r="B20" t="s">
        <v>5</v>
      </c>
      <c r="C20" t="s">
        <v>19</v>
      </c>
      <c r="D20" s="1">
        <v>12</v>
      </c>
      <c r="E20" t="s">
        <v>25</v>
      </c>
    </row>
    <row r="21" spans="1:9" x14ac:dyDescent="0.2">
      <c r="A21">
        <v>120</v>
      </c>
      <c r="B21" t="s">
        <v>7</v>
      </c>
      <c r="C21" t="s">
        <v>19</v>
      </c>
      <c r="D21" s="1">
        <v>24</v>
      </c>
      <c r="E21" t="s">
        <v>25</v>
      </c>
    </row>
    <row r="22" spans="1:9" x14ac:dyDescent="0.2">
      <c r="A22">
        <v>121</v>
      </c>
      <c r="B22" t="s">
        <v>8</v>
      </c>
      <c r="C22" t="s">
        <v>22</v>
      </c>
      <c r="D22" s="1">
        <v>18</v>
      </c>
      <c r="E22" t="s">
        <v>24</v>
      </c>
    </row>
    <row r="23" spans="1:9" x14ac:dyDescent="0.2">
      <c r="A23">
        <v>122</v>
      </c>
      <c r="B23" t="s">
        <v>9</v>
      </c>
      <c r="C23" t="s">
        <v>22</v>
      </c>
      <c r="D23" s="1">
        <v>34</v>
      </c>
      <c r="E23" t="s">
        <v>23</v>
      </c>
      <c r="H23" s="3" t="s">
        <v>33</v>
      </c>
      <c r="I23" s="5">
        <f>SUM(Tabela2[Ticket_Médio])/4</f>
        <v>24</v>
      </c>
    </row>
    <row r="24" spans="1:9" x14ac:dyDescent="0.2">
      <c r="A24">
        <v>123</v>
      </c>
      <c r="B24" t="s">
        <v>10</v>
      </c>
      <c r="C24" t="s">
        <v>21</v>
      </c>
      <c r="D24" s="1">
        <v>37</v>
      </c>
      <c r="E24" t="s">
        <v>23</v>
      </c>
    </row>
    <row r="25" spans="1:9" x14ac:dyDescent="0.2">
      <c r="A25">
        <v>124</v>
      </c>
      <c r="B25" t="s">
        <v>11</v>
      </c>
      <c r="C25" t="s">
        <v>22</v>
      </c>
      <c r="D25" s="1">
        <v>28</v>
      </c>
      <c r="E25" t="s">
        <v>24</v>
      </c>
    </row>
    <row r="26" spans="1:9" x14ac:dyDescent="0.2">
      <c r="A26">
        <v>125</v>
      </c>
      <c r="B26" t="s">
        <v>12</v>
      </c>
      <c r="C26" t="s">
        <v>21</v>
      </c>
      <c r="D26" s="1">
        <v>17</v>
      </c>
      <c r="E26" t="s">
        <v>23</v>
      </c>
    </row>
    <row r="27" spans="1:9" x14ac:dyDescent="0.2">
      <c r="A27">
        <v>126</v>
      </c>
      <c r="B27" t="s">
        <v>13</v>
      </c>
      <c r="C27" t="s">
        <v>21</v>
      </c>
      <c r="D27" s="1">
        <v>34</v>
      </c>
      <c r="E27" t="s">
        <v>23</v>
      </c>
    </row>
    <row r="28" spans="1:9" x14ac:dyDescent="0.2">
      <c r="A28">
        <v>127</v>
      </c>
      <c r="B28" t="s">
        <v>14</v>
      </c>
      <c r="C28" t="s">
        <v>20</v>
      </c>
      <c r="D28" s="1">
        <v>26</v>
      </c>
      <c r="E28" t="s">
        <v>24</v>
      </c>
    </row>
    <row r="29" spans="1:9" x14ac:dyDescent="0.2">
      <c r="A29">
        <v>128</v>
      </c>
      <c r="B29" t="s">
        <v>15</v>
      </c>
      <c r="C29" t="s">
        <v>21</v>
      </c>
      <c r="D29" s="1">
        <v>12</v>
      </c>
      <c r="E29" t="s">
        <v>23</v>
      </c>
    </row>
    <row r="30" spans="1:9" x14ac:dyDescent="0.2">
      <c r="A30">
        <v>129</v>
      </c>
      <c r="B30" t="s">
        <v>6</v>
      </c>
      <c r="C30" t="s">
        <v>19</v>
      </c>
      <c r="D30" s="1">
        <v>15</v>
      </c>
      <c r="E30" t="s">
        <v>25</v>
      </c>
    </row>
    <row r="31" spans="1:9" x14ac:dyDescent="0.2">
      <c r="A31">
        <v>130</v>
      </c>
      <c r="B31" t="s">
        <v>16</v>
      </c>
      <c r="C31" t="s">
        <v>20</v>
      </c>
      <c r="D31" s="1">
        <v>28</v>
      </c>
      <c r="E31" t="s">
        <v>23</v>
      </c>
    </row>
    <row r="32" spans="1:9" x14ac:dyDescent="0.2">
      <c r="A32">
        <v>131</v>
      </c>
      <c r="B32" t="s">
        <v>17</v>
      </c>
      <c r="C32" t="s">
        <v>22</v>
      </c>
      <c r="D32" s="1">
        <v>12</v>
      </c>
      <c r="E32" t="s">
        <v>23</v>
      </c>
    </row>
    <row r="33" spans="1:5" x14ac:dyDescent="0.2">
      <c r="A33">
        <v>132</v>
      </c>
      <c r="B33" t="s">
        <v>18</v>
      </c>
      <c r="C33" t="s">
        <v>22</v>
      </c>
      <c r="D33" s="1">
        <v>14</v>
      </c>
      <c r="E33" t="s">
        <v>24</v>
      </c>
    </row>
    <row r="34" spans="1:5" x14ac:dyDescent="0.2">
      <c r="A34">
        <v>133</v>
      </c>
      <c r="B34" t="s">
        <v>5</v>
      </c>
      <c r="C34" t="s">
        <v>19</v>
      </c>
      <c r="D34" s="1">
        <v>31</v>
      </c>
      <c r="E34" t="s">
        <v>23</v>
      </c>
    </row>
    <row r="35" spans="1:5" x14ac:dyDescent="0.2">
      <c r="A35">
        <v>134</v>
      </c>
      <c r="B35" t="s">
        <v>6</v>
      </c>
      <c r="C35" t="s">
        <v>21</v>
      </c>
      <c r="D35" s="1">
        <v>21</v>
      </c>
      <c r="E35" t="s">
        <v>25</v>
      </c>
    </row>
    <row r="36" spans="1:5" x14ac:dyDescent="0.2">
      <c r="A36">
        <v>135</v>
      </c>
      <c r="B36" t="s">
        <v>5</v>
      </c>
      <c r="C36" t="s">
        <v>20</v>
      </c>
      <c r="D36" s="1">
        <v>16</v>
      </c>
      <c r="E36" t="s">
        <v>23</v>
      </c>
    </row>
    <row r="37" spans="1:5" x14ac:dyDescent="0.2">
      <c r="A37">
        <v>136</v>
      </c>
      <c r="B37" t="s">
        <v>7</v>
      </c>
      <c r="C37" t="s">
        <v>22</v>
      </c>
      <c r="D37" s="1">
        <v>22</v>
      </c>
      <c r="E37" t="s">
        <v>25</v>
      </c>
    </row>
    <row r="38" spans="1:5" x14ac:dyDescent="0.2">
      <c r="A38">
        <v>137</v>
      </c>
      <c r="B38" t="s">
        <v>8</v>
      </c>
      <c r="C38" t="s">
        <v>22</v>
      </c>
      <c r="D38" s="1">
        <v>27</v>
      </c>
      <c r="E38" t="s">
        <v>24</v>
      </c>
    </row>
    <row r="39" spans="1:5" x14ac:dyDescent="0.2">
      <c r="A39">
        <v>138</v>
      </c>
      <c r="B39" t="s">
        <v>9</v>
      </c>
      <c r="C39" t="s">
        <v>21</v>
      </c>
      <c r="D39" s="1">
        <v>27</v>
      </c>
      <c r="E39" t="s">
        <v>24</v>
      </c>
    </row>
    <row r="40" spans="1:5" x14ac:dyDescent="0.2">
      <c r="A40">
        <v>139</v>
      </c>
      <c r="B40" t="s">
        <v>10</v>
      </c>
      <c r="C40" t="s">
        <v>19</v>
      </c>
      <c r="D40" s="1">
        <v>16</v>
      </c>
      <c r="E40" t="s">
        <v>23</v>
      </c>
    </row>
    <row r="41" spans="1:5" x14ac:dyDescent="0.2">
      <c r="A41">
        <v>140</v>
      </c>
      <c r="B41" t="s">
        <v>11</v>
      </c>
      <c r="C41" t="s">
        <v>19</v>
      </c>
      <c r="D41" s="1">
        <v>28</v>
      </c>
      <c r="E41" t="s">
        <v>24</v>
      </c>
    </row>
    <row r="42" spans="1:5" x14ac:dyDescent="0.2">
      <c r="A42">
        <v>141</v>
      </c>
      <c r="B42" t="s">
        <v>12</v>
      </c>
      <c r="C42" t="s">
        <v>22</v>
      </c>
      <c r="D42" s="1">
        <v>31</v>
      </c>
      <c r="E42" t="s">
        <v>24</v>
      </c>
    </row>
    <row r="43" spans="1:5" x14ac:dyDescent="0.2">
      <c r="A43">
        <v>142</v>
      </c>
      <c r="B43" t="s">
        <v>13</v>
      </c>
      <c r="C43" t="s">
        <v>21</v>
      </c>
      <c r="D43" s="1">
        <v>29</v>
      </c>
      <c r="E43" t="s">
        <v>25</v>
      </c>
    </row>
    <row r="44" spans="1:5" x14ac:dyDescent="0.2">
      <c r="A44">
        <v>143</v>
      </c>
      <c r="B44" t="s">
        <v>14</v>
      </c>
      <c r="C44" t="s">
        <v>19</v>
      </c>
      <c r="D44" s="1">
        <v>17</v>
      </c>
      <c r="E44" t="s">
        <v>23</v>
      </c>
    </row>
    <row r="45" spans="1:5" x14ac:dyDescent="0.2">
      <c r="A45">
        <v>144</v>
      </c>
      <c r="B45" t="s">
        <v>15</v>
      </c>
      <c r="C45" t="s">
        <v>20</v>
      </c>
      <c r="D45" s="1">
        <v>34</v>
      </c>
      <c r="E45" t="s">
        <v>24</v>
      </c>
    </row>
    <row r="46" spans="1:5" x14ac:dyDescent="0.2">
      <c r="A46">
        <v>145</v>
      </c>
      <c r="B46" t="s">
        <v>6</v>
      </c>
      <c r="C46" t="s">
        <v>20</v>
      </c>
      <c r="D46" s="1">
        <v>35</v>
      </c>
      <c r="E46" t="s">
        <v>25</v>
      </c>
    </row>
    <row r="47" spans="1:5" x14ac:dyDescent="0.2">
      <c r="A47">
        <v>146</v>
      </c>
      <c r="B47" t="s">
        <v>16</v>
      </c>
      <c r="C47" t="s">
        <v>19</v>
      </c>
      <c r="D47" s="1">
        <v>24</v>
      </c>
      <c r="E47" t="s">
        <v>25</v>
      </c>
    </row>
    <row r="48" spans="1:5" x14ac:dyDescent="0.2">
      <c r="A48">
        <v>147</v>
      </c>
      <c r="B48" t="s">
        <v>17</v>
      </c>
      <c r="C48" t="s">
        <v>22</v>
      </c>
      <c r="D48" s="1">
        <v>21</v>
      </c>
      <c r="E48" t="s">
        <v>23</v>
      </c>
    </row>
    <row r="49" spans="1:5" x14ac:dyDescent="0.2">
      <c r="A49">
        <v>148</v>
      </c>
      <c r="B49" t="s">
        <v>18</v>
      </c>
      <c r="C49" t="s">
        <v>20</v>
      </c>
      <c r="D49" s="1">
        <v>28</v>
      </c>
      <c r="E49" t="s">
        <v>23</v>
      </c>
    </row>
    <row r="50" spans="1:5" x14ac:dyDescent="0.2">
      <c r="A50">
        <v>149</v>
      </c>
      <c r="B50" t="s">
        <v>5</v>
      </c>
      <c r="C50" t="s">
        <v>19</v>
      </c>
      <c r="D50" s="1">
        <v>22</v>
      </c>
      <c r="E50" t="s">
        <v>23</v>
      </c>
    </row>
    <row r="51" spans="1:5" x14ac:dyDescent="0.2">
      <c r="A51">
        <v>150</v>
      </c>
      <c r="B51" t="s">
        <v>6</v>
      </c>
      <c r="C51" t="s">
        <v>19</v>
      </c>
      <c r="D51" s="1">
        <v>38</v>
      </c>
      <c r="E51" t="s">
        <v>23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Ramos</dc:creator>
  <dcterms:created xsi:type="dcterms:W3CDTF">2026-04-06T19:48:33Z</dcterms:created>
</cp:coreProperties>
</file>